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wui/g02s/KdJZu9r7oy+nBtahQlNkQvP+gjQznsQUFo="/>
    </ext>
  </extLst>
</workbook>
</file>

<file path=xl/sharedStrings.xml><?xml version="1.0" encoding="utf-8"?>
<sst xmlns="http://schemas.openxmlformats.org/spreadsheetml/2006/main" count="33" uniqueCount="33">
  <si>
    <t>Control del Sprint 2 de 10 días</t>
  </si>
  <si>
    <t xml:space="preserve">Tareas </t>
  </si>
  <si>
    <t>horas estimadas</t>
  </si>
  <si>
    <t>DIA</t>
  </si>
  <si>
    <t>Total</t>
  </si>
  <si>
    <t>H10-T26</t>
  </si>
  <si>
    <t>H10-T27</t>
  </si>
  <si>
    <t>H11-T28</t>
  </si>
  <si>
    <t>H11-T29</t>
  </si>
  <si>
    <t>H12-T30</t>
  </si>
  <si>
    <t>H12-T31</t>
  </si>
  <si>
    <t>H12-T32</t>
  </si>
  <si>
    <t>H13-T33</t>
  </si>
  <si>
    <t>H13-T34</t>
  </si>
  <si>
    <t>H13-T35</t>
  </si>
  <si>
    <t>H14-T36</t>
  </si>
  <si>
    <t>H14-T37</t>
  </si>
  <si>
    <t>H14-T38</t>
  </si>
  <si>
    <t>H15-T39</t>
  </si>
  <si>
    <t>H16-T40</t>
  </si>
  <si>
    <t>H16-T41</t>
  </si>
  <si>
    <t>H16-T42</t>
  </si>
  <si>
    <t>H17-T43</t>
  </si>
  <si>
    <t>H17-T44</t>
  </si>
  <si>
    <t>H17-T45</t>
  </si>
  <si>
    <t>H18-T46</t>
  </si>
  <si>
    <t>H18-T47</t>
  </si>
  <si>
    <t>H19-T48</t>
  </si>
  <si>
    <t>H19-T49</t>
  </si>
  <si>
    <t>H19-T50</t>
  </si>
  <si>
    <t>Horas Consumidas (Realizadas) por Día</t>
  </si>
  <si>
    <t>Total horas sprint</t>
  </si>
  <si>
    <t>Trabajo Pendiente (Burndown)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</si>
</sst>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Border="1" applyFont="1"/>
    <xf borderId="1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Ejemplo1!$C$23:$L$23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Ejemplo1!$C$24:$L$24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Ejemplo1!$C$25:$L$25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Ejemplo1!$C$26:$L$26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Ejemplo1!$C$27:$L$27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Ejemplo1!$C$28:$L$28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Ejemplo1!$C$29:$L$29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7"/>
          <c:order val="27"/>
          <c:spPr>
            <a:ln cmpd="sng">
              <a:solidFill>
                <a:srgbClr val="FF0C3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28"/>
          <c:order val="28"/>
          <c:spPr>
            <a:ln cmpd="sng">
              <a:solidFill>
                <a:srgbClr val="241B0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29"/>
          <c:order val="29"/>
          <c:spPr>
            <a:ln cmpd="sng">
              <a:solidFill>
                <a:srgbClr val="1C0F2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30"/>
          <c:order val="30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31"/>
          <c:order val="31"/>
          <c:spPr>
            <a:ln cmpd="sng">
              <a:solidFill>
                <a:srgbClr val="08406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32"/>
          <c:order val="32"/>
          <c:spPr>
            <a:ln cmpd="sng">
              <a:solidFill>
                <a:srgbClr val="2C2C2C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34"/>
          <c:order val="34"/>
          <c:spPr>
            <a:ln cmpd="sng">
              <a:solidFill>
                <a:srgbClr val="5D461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35"/>
          <c:order val="35"/>
          <c:spPr>
            <a:ln cmpd="sng">
              <a:solidFill>
                <a:srgbClr val="47285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36"/>
          <c:order val="36"/>
          <c:spPr>
            <a:ln cmpd="sng">
              <a:solidFill>
                <a:srgbClr val="824F2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37"/>
          <c:order val="37"/>
          <c:spPr>
            <a:ln cmpd="sng">
              <a:solidFill>
                <a:srgbClr val="0D67A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38"/>
          <c:order val="38"/>
          <c:spPr>
            <a:ln cmpd="sng">
              <a:solidFill>
                <a:srgbClr val="4747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39"/>
          <c:order val="39"/>
          <c:spPr>
            <a:ln cmpd="sng">
              <a:solidFill>
                <a:srgbClr val="FF31C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40"/>
          <c:order val="40"/>
          <c:spPr>
            <a:ln cmpd="sng">
              <a:solidFill>
                <a:srgbClr val="95702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41"/>
          <c:order val="41"/>
          <c:spPr>
            <a:ln cmpd="sng">
              <a:solidFill>
                <a:srgbClr val="71419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42"/>
          <c:order val="42"/>
          <c:spPr>
            <a:ln cmpd="sng">
              <a:solidFill>
                <a:srgbClr val="B36D2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43"/>
          <c:order val="43"/>
          <c:spPr>
            <a:ln cmpd="sng">
              <a:solidFill>
                <a:srgbClr val="138E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Ejemplo1!$C$23:$L$23</c:f>
              <c:numCache/>
            </c:numRef>
          </c:val>
          <c:smooth val="0"/>
        </c:ser>
        <c:ser>
          <c:idx val="44"/>
          <c:order val="44"/>
          <c:spPr>
            <a:ln cmpd="sng">
              <a:solidFill>
                <a:srgbClr val="62626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Ejemplo1!$C$24:$L$24</c:f>
              <c:numCache/>
            </c:numRef>
          </c:val>
          <c:smooth val="0"/>
        </c:ser>
        <c:ser>
          <c:idx val="45"/>
          <c:order val="45"/>
          <c:spPr>
            <a:ln cmpd="sng">
              <a:solidFill>
                <a:srgbClr val="FF441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Ejemplo1!$C$25:$L$25</c:f>
              <c:numCache/>
            </c:numRef>
          </c:val>
          <c:smooth val="0"/>
        </c:ser>
        <c:ser>
          <c:idx val="46"/>
          <c:order val="46"/>
          <c:spPr>
            <a:ln cmpd="sng">
              <a:solidFill>
                <a:srgbClr val="CD9A4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Ejemplo1!$C$26:$L$26</c:f>
              <c:numCache/>
            </c:numRef>
          </c:val>
          <c:smooth val="0"/>
        </c:ser>
        <c:ser>
          <c:idx val="47"/>
          <c:order val="47"/>
          <c:spPr>
            <a:ln cmpd="sng">
              <a:solidFill>
                <a:srgbClr val="9C59C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Ejemplo1!$C$27:$L$27</c:f>
              <c:numCache/>
            </c:numRef>
          </c:val>
          <c:smooth val="0"/>
        </c:ser>
        <c:ser>
          <c:idx val="48"/>
          <c:order val="48"/>
          <c:spPr>
            <a:ln cmpd="sng">
              <a:solidFill>
                <a:srgbClr val="E58B3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Ejemplo1!$C$28:$L$28</c:f>
              <c:numCache/>
            </c:numRef>
          </c:val>
          <c:smooth val="0"/>
        </c:ser>
        <c:ser>
          <c:idx val="49"/>
          <c:order val="49"/>
          <c:spPr>
            <a:ln cmpd="sng">
              <a:solidFill>
                <a:srgbClr val="18B51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Ejemplo1!$C$29:$L$29</c:f>
              <c:numCache/>
            </c:numRef>
          </c:val>
          <c:smooth val="0"/>
        </c:ser>
        <c:ser>
          <c:idx val="50"/>
          <c:order val="50"/>
          <c:spPr>
            <a:ln cmpd="sng">
              <a:solidFill>
                <a:srgbClr val="7D7D7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51"/>
          <c:order val="51"/>
          <c:spPr>
            <a:ln cmpd="sng">
              <a:solidFill>
                <a:srgbClr val="FF576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52"/>
          <c:order val="52"/>
          <c:spPr>
            <a:ln cmpd="sng">
              <a:solidFill>
                <a:srgbClr val="05C45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53"/>
          <c:order val="53"/>
          <c:spPr>
            <a:ln cmpd="sng">
              <a:solidFill>
                <a:srgbClr val="C7720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4"/>
          <c:order val="54"/>
          <c:spPr>
            <a:ln cmpd="sng">
              <a:solidFill>
                <a:srgbClr val="16A94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55"/>
          <c:order val="55"/>
          <c:spPr>
            <a:ln cmpd="sng">
              <a:solidFill>
                <a:srgbClr val="1EDC5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56"/>
          <c:order val="56"/>
          <c:spPr>
            <a:ln cmpd="sng">
              <a:solidFill>
                <a:srgbClr val="98989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57"/>
          <c:order val="57"/>
          <c:spPr>
            <a:ln cmpd="sng">
              <a:solidFill>
                <a:srgbClr val="FF6AB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58"/>
          <c:order val="58"/>
          <c:spPr>
            <a:ln cmpd="sng">
              <a:solidFill>
                <a:srgbClr val="3DEF63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59"/>
          <c:order val="59"/>
          <c:spPr>
            <a:ln cmpd="sng">
              <a:solidFill>
                <a:srgbClr val="F28A3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60"/>
          <c:order val="60"/>
          <c:spPr>
            <a:ln cmpd="sng">
              <a:solidFill>
                <a:srgbClr val="47C753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61"/>
          <c:order val="61"/>
          <c:spPr>
            <a:ln cmpd="sng">
              <a:solidFill>
                <a:srgbClr val="23039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62"/>
          <c:order val="62"/>
          <c:spPr>
            <a:ln cmpd="sng">
              <a:solidFill>
                <a:srgbClr val="B3B3B3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63"/>
          <c:order val="63"/>
          <c:spPr>
            <a:ln cmpd="sng">
              <a:solidFill>
                <a:srgbClr val="FF7DF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64"/>
          <c:order val="64"/>
          <c:spPr>
            <a:ln cmpd="sng">
              <a:solidFill>
                <a:srgbClr val="75197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65"/>
          <c:order val="65"/>
          <c:spPr>
            <a:ln cmpd="sng">
              <a:solidFill>
                <a:srgbClr val="1DA3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Ejemplo1!$C$21:$L$21</c:f>
              <c:numCache/>
            </c:numRef>
          </c:val>
          <c:smooth val="0"/>
        </c:ser>
        <c:ser>
          <c:idx val="66"/>
          <c:order val="66"/>
          <c:spPr>
            <a:ln cmpd="sng">
              <a:solidFill>
                <a:srgbClr val="78E56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Ejemplo1!$C$22:$L$22</c:f>
              <c:numCache/>
            </c:numRef>
          </c:val>
          <c:smooth val="0"/>
        </c:ser>
        <c:ser>
          <c:idx val="67"/>
          <c:order val="67"/>
          <c:spPr>
            <a:ln cmpd="sng">
              <a:solidFill>
                <a:srgbClr val="282AD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Ejemplo1!$C$23:$L$23</c:f>
              <c:numCache/>
            </c:numRef>
          </c:val>
          <c:smooth val="0"/>
        </c:ser>
        <c:ser>
          <c:idx val="68"/>
          <c:order val="68"/>
          <c:spPr>
            <a:ln cmpd="sng">
              <a:solidFill>
                <a:srgbClr val="CECEC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Ejemplo1!$C$24:$L$24</c:f>
              <c:numCache/>
            </c:numRef>
          </c:val>
          <c:smooth val="0"/>
        </c:ser>
        <c:ser>
          <c:idx val="69"/>
          <c:order val="69"/>
          <c:spPr>
            <a:ln cmpd="sng">
              <a:solidFill>
                <a:srgbClr val="FF904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Ejemplo1!$C$25:$L$25</c:f>
              <c:numCache/>
            </c:numRef>
          </c:val>
          <c:smooth val="0"/>
        </c:ser>
        <c:ser>
          <c:idx val="70"/>
          <c:order val="70"/>
          <c:spPr>
            <a:ln cmpd="sng">
              <a:solidFill>
                <a:srgbClr val="AD438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Ejemplo1!$C$26:$L$26</c:f>
              <c:numCache/>
            </c:numRef>
          </c:val>
          <c:smooth val="0"/>
        </c:ser>
        <c:ser>
          <c:idx val="71"/>
          <c:order val="71"/>
          <c:spPr>
            <a:ln cmpd="sng">
              <a:solidFill>
                <a:srgbClr val="48BCA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Ejemplo1!$C$27:$L$27</c:f>
              <c:numCache/>
            </c:numRef>
          </c:val>
          <c:smooth val="0"/>
        </c:ser>
        <c:ser>
          <c:idx val="72"/>
          <c:order val="72"/>
          <c:spPr>
            <a:ln cmpd="sng">
              <a:solidFill>
                <a:srgbClr val="A9036C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Ejemplo1!$C$28:$L$28</c:f>
              <c:numCache/>
            </c:numRef>
          </c:val>
          <c:smooth val="0"/>
        </c:ser>
        <c:ser>
          <c:idx val="73"/>
          <c:order val="73"/>
          <c:spPr>
            <a:ln cmpd="sng">
              <a:solidFill>
                <a:srgbClr val="2E511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Ejemplo1!$C$29:$L$29</c:f>
              <c:numCache/>
            </c:numRef>
          </c:val>
          <c:smooth val="0"/>
        </c:ser>
        <c:axId val="1449542558"/>
        <c:axId val="1240656425"/>
      </c:lineChart>
      <c:catAx>
        <c:axId val="1449542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0656425"/>
      </c:catAx>
      <c:valAx>
        <c:axId val="1240656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954255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43"/>
    <col customWidth="1" min="2" max="2" width="17.0"/>
    <col customWidth="1" min="3" max="3" width="4.0"/>
    <col customWidth="1" min="4" max="4" width="3.43"/>
    <col customWidth="1" min="5" max="6" width="3.29"/>
    <col customWidth="1" min="7" max="8" width="4.86"/>
    <col customWidth="1" min="9" max="10" width="3.86"/>
    <col customWidth="1" min="11" max="11" width="4.43"/>
    <col customWidth="1" min="12" max="12" width="3.86"/>
    <col customWidth="1" min="13" max="19" width="10.71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6"/>
      <c r="M3" s="3" t="s">
        <v>4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5</v>
      </c>
      <c r="B5" s="11">
        <v>2.0</v>
      </c>
      <c r="C5" s="10">
        <v>2.0</v>
      </c>
      <c r="D5" s="10"/>
      <c r="E5" s="12"/>
      <c r="F5" s="12"/>
      <c r="G5" s="12"/>
      <c r="H5" s="12"/>
      <c r="I5" s="12"/>
      <c r="J5" s="12"/>
      <c r="K5" s="12"/>
      <c r="L5" s="12"/>
      <c r="M5" s="13">
        <f t="shared" ref="M5:M29" si="1">SUM(C5:L5)</f>
        <v>2</v>
      </c>
    </row>
    <row r="6" ht="14.25" customHeight="1">
      <c r="A6" s="10" t="s">
        <v>6</v>
      </c>
      <c r="B6" s="11">
        <v>2.0</v>
      </c>
      <c r="C6" s="12"/>
      <c r="D6" s="10">
        <v>2.0</v>
      </c>
      <c r="E6" s="12"/>
      <c r="F6" s="12"/>
      <c r="G6" s="12"/>
      <c r="H6" s="12"/>
      <c r="I6" s="12"/>
      <c r="J6" s="12"/>
      <c r="K6" s="12"/>
      <c r="L6" s="12"/>
      <c r="M6" s="14">
        <f t="shared" si="1"/>
        <v>2</v>
      </c>
    </row>
    <row r="7" ht="14.25" customHeight="1">
      <c r="A7" s="10" t="s">
        <v>7</v>
      </c>
      <c r="B7" s="11">
        <v>2.0</v>
      </c>
      <c r="C7" s="12"/>
      <c r="D7" s="10">
        <v>2.0</v>
      </c>
      <c r="E7" s="12"/>
      <c r="F7" s="12"/>
      <c r="G7" s="12"/>
      <c r="H7" s="12"/>
      <c r="I7" s="12"/>
      <c r="J7" s="12"/>
      <c r="K7" s="12"/>
      <c r="L7" s="12"/>
      <c r="M7" s="14">
        <f t="shared" si="1"/>
        <v>2</v>
      </c>
    </row>
    <row r="8" ht="14.25" customHeight="1">
      <c r="A8" s="10" t="s">
        <v>8</v>
      </c>
      <c r="B8" s="11">
        <v>1.0</v>
      </c>
      <c r="C8" s="12"/>
      <c r="D8" s="10">
        <v>1.0</v>
      </c>
      <c r="E8" s="12"/>
      <c r="F8" s="12"/>
      <c r="G8" s="12"/>
      <c r="H8" s="12"/>
      <c r="I8" s="12"/>
      <c r="J8" s="12"/>
      <c r="K8" s="12"/>
      <c r="L8" s="12"/>
      <c r="M8" s="14">
        <f t="shared" si="1"/>
        <v>1</v>
      </c>
    </row>
    <row r="9" ht="14.25" customHeight="1">
      <c r="A9" s="10" t="s">
        <v>9</v>
      </c>
      <c r="B9" s="11">
        <v>1.0</v>
      </c>
      <c r="C9" s="12"/>
      <c r="D9" s="10">
        <v>1.0</v>
      </c>
      <c r="E9" s="12"/>
      <c r="F9" s="12"/>
      <c r="G9" s="12"/>
      <c r="H9" s="12"/>
      <c r="I9" s="12"/>
      <c r="J9" s="12"/>
      <c r="K9" s="12"/>
      <c r="L9" s="12"/>
      <c r="M9" s="14">
        <f t="shared" si="1"/>
        <v>1</v>
      </c>
    </row>
    <row r="10" ht="14.25" customHeight="1">
      <c r="A10" s="10" t="s">
        <v>10</v>
      </c>
      <c r="B10" s="11">
        <v>3.0</v>
      </c>
      <c r="C10" s="12"/>
      <c r="D10" s="10">
        <v>3.0</v>
      </c>
      <c r="E10" s="12"/>
      <c r="F10" s="12"/>
      <c r="G10" s="12"/>
      <c r="H10" s="12"/>
      <c r="I10" s="12"/>
      <c r="J10" s="12"/>
      <c r="K10" s="12"/>
      <c r="L10" s="12"/>
      <c r="M10" s="14">
        <f t="shared" si="1"/>
        <v>3</v>
      </c>
    </row>
    <row r="11" ht="14.25" customHeight="1">
      <c r="A11" s="10" t="s">
        <v>11</v>
      </c>
      <c r="B11" s="11">
        <v>3.0</v>
      </c>
      <c r="C11" s="12"/>
      <c r="D11" s="12"/>
      <c r="E11" s="10">
        <v>3.0</v>
      </c>
      <c r="F11" s="12"/>
      <c r="G11" s="12"/>
      <c r="H11" s="12"/>
      <c r="I11" s="12"/>
      <c r="J11" s="12"/>
      <c r="K11" s="12"/>
      <c r="L11" s="12"/>
      <c r="M11" s="14">
        <f t="shared" si="1"/>
        <v>3</v>
      </c>
    </row>
    <row r="12" ht="14.25" customHeight="1">
      <c r="A12" s="10" t="s">
        <v>12</v>
      </c>
      <c r="B12" s="11">
        <v>1.0</v>
      </c>
      <c r="C12" s="12"/>
      <c r="D12" s="12"/>
      <c r="E12" s="10">
        <v>1.0</v>
      </c>
      <c r="F12" s="12"/>
      <c r="G12" s="12"/>
      <c r="H12" s="12"/>
      <c r="I12" s="12"/>
      <c r="J12" s="12"/>
      <c r="K12" s="12"/>
      <c r="L12" s="12"/>
      <c r="M12" s="14">
        <f t="shared" si="1"/>
        <v>1</v>
      </c>
    </row>
    <row r="13" ht="14.25" customHeight="1">
      <c r="A13" s="10" t="s">
        <v>13</v>
      </c>
      <c r="B13" s="11">
        <v>2.0</v>
      </c>
      <c r="C13" s="12"/>
      <c r="D13" s="12"/>
      <c r="E13" s="10">
        <v>2.0</v>
      </c>
      <c r="F13" s="10"/>
      <c r="G13" s="12"/>
      <c r="H13" s="12"/>
      <c r="I13" s="12"/>
      <c r="J13" s="12"/>
      <c r="K13" s="12"/>
      <c r="L13" s="12"/>
      <c r="M13" s="14">
        <f t="shared" si="1"/>
        <v>2</v>
      </c>
    </row>
    <row r="14" ht="14.25" customHeight="1">
      <c r="A14" s="10" t="s">
        <v>14</v>
      </c>
      <c r="B14" s="11">
        <v>4.0</v>
      </c>
      <c r="C14" s="12"/>
      <c r="D14" s="12"/>
      <c r="E14" s="12"/>
      <c r="F14" s="10">
        <v>4.0</v>
      </c>
      <c r="G14" s="12"/>
      <c r="H14" s="12"/>
      <c r="I14" s="12"/>
      <c r="J14" s="12"/>
      <c r="K14" s="12"/>
      <c r="L14" s="12"/>
      <c r="M14" s="14">
        <f t="shared" si="1"/>
        <v>4</v>
      </c>
    </row>
    <row r="15" ht="14.25" customHeight="1">
      <c r="A15" s="10" t="s">
        <v>15</v>
      </c>
      <c r="B15" s="11">
        <v>2.0</v>
      </c>
      <c r="C15" s="12"/>
      <c r="D15" s="12"/>
      <c r="E15" s="12"/>
      <c r="F15" s="10">
        <v>2.0</v>
      </c>
      <c r="G15" s="12"/>
      <c r="H15" s="12"/>
      <c r="I15" s="12"/>
      <c r="J15" s="12"/>
      <c r="K15" s="12"/>
      <c r="L15" s="12"/>
      <c r="M15" s="14">
        <f t="shared" si="1"/>
        <v>2</v>
      </c>
    </row>
    <row r="16" ht="14.25" customHeight="1">
      <c r="A16" s="10" t="s">
        <v>16</v>
      </c>
      <c r="B16" s="11">
        <v>3.0</v>
      </c>
      <c r="C16" s="12"/>
      <c r="D16" s="12"/>
      <c r="E16" s="12"/>
      <c r="F16" s="10">
        <v>3.0</v>
      </c>
      <c r="G16" s="10"/>
      <c r="H16" s="12"/>
      <c r="I16" s="12"/>
      <c r="J16" s="12"/>
      <c r="K16" s="12"/>
      <c r="L16" s="12"/>
      <c r="M16" s="14">
        <f t="shared" si="1"/>
        <v>3</v>
      </c>
    </row>
    <row r="17" ht="14.25" customHeight="1">
      <c r="A17" s="10" t="s">
        <v>17</v>
      </c>
      <c r="B17" s="11">
        <v>1.0</v>
      </c>
      <c r="C17" s="12"/>
      <c r="D17" s="12"/>
      <c r="E17" s="12"/>
      <c r="F17" s="12"/>
      <c r="G17" s="10">
        <v>1.0</v>
      </c>
      <c r="H17" s="12"/>
      <c r="I17" s="12"/>
      <c r="J17" s="12"/>
      <c r="K17" s="12"/>
      <c r="L17" s="12"/>
      <c r="M17" s="14">
        <f t="shared" si="1"/>
        <v>1</v>
      </c>
    </row>
    <row r="18" ht="14.25" customHeight="1">
      <c r="A18" s="10" t="s">
        <v>18</v>
      </c>
      <c r="B18" s="11">
        <v>3.0</v>
      </c>
      <c r="C18" s="12"/>
      <c r="D18" s="12"/>
      <c r="E18" s="12"/>
      <c r="F18" s="12"/>
      <c r="G18" s="10">
        <v>3.0</v>
      </c>
      <c r="H18" s="12"/>
      <c r="I18" s="12"/>
      <c r="J18" s="12"/>
      <c r="K18" s="12"/>
      <c r="L18" s="12"/>
      <c r="M18" s="14">
        <f t="shared" si="1"/>
        <v>3</v>
      </c>
    </row>
    <row r="19" ht="14.25" customHeight="1">
      <c r="A19" s="10" t="s">
        <v>19</v>
      </c>
      <c r="B19" s="11">
        <v>4.0</v>
      </c>
      <c r="C19" s="12"/>
      <c r="D19" s="12"/>
      <c r="E19" s="12"/>
      <c r="F19" s="12"/>
      <c r="G19" s="10">
        <v>4.0</v>
      </c>
      <c r="H19" s="12"/>
      <c r="I19" s="12"/>
      <c r="J19" s="12"/>
      <c r="K19" s="12"/>
      <c r="L19" s="12"/>
      <c r="M19" s="14">
        <f t="shared" si="1"/>
        <v>4</v>
      </c>
    </row>
    <row r="20" ht="14.25" customHeight="1">
      <c r="A20" s="10" t="s">
        <v>20</v>
      </c>
      <c r="B20" s="11">
        <v>4.0</v>
      </c>
      <c r="C20" s="12"/>
      <c r="D20" s="12"/>
      <c r="E20" s="12"/>
      <c r="F20" s="12"/>
      <c r="G20" s="12"/>
      <c r="H20" s="10">
        <v>4.0</v>
      </c>
      <c r="I20" s="12"/>
      <c r="J20" s="12"/>
      <c r="K20" s="12"/>
      <c r="L20" s="12"/>
      <c r="M20" s="14">
        <f t="shared" si="1"/>
        <v>4</v>
      </c>
    </row>
    <row r="21" ht="14.25" customHeight="1">
      <c r="A21" s="10" t="s">
        <v>21</v>
      </c>
      <c r="B21" s="11">
        <v>3.0</v>
      </c>
      <c r="C21" s="12"/>
      <c r="D21" s="12"/>
      <c r="E21" s="12"/>
      <c r="F21" s="12"/>
      <c r="G21" s="12"/>
      <c r="H21" s="10">
        <v>3.0</v>
      </c>
      <c r="I21" s="12"/>
      <c r="J21" s="12"/>
      <c r="K21" s="12"/>
      <c r="L21" s="12"/>
      <c r="M21" s="14">
        <f t="shared" si="1"/>
        <v>3</v>
      </c>
    </row>
    <row r="22" ht="14.25" customHeight="1">
      <c r="A22" s="10" t="s">
        <v>22</v>
      </c>
      <c r="B22" s="11">
        <v>2.0</v>
      </c>
      <c r="C22" s="12"/>
      <c r="D22" s="12"/>
      <c r="E22" s="12"/>
      <c r="F22" s="12"/>
      <c r="G22" s="12"/>
      <c r="H22" s="12"/>
      <c r="I22" s="10">
        <v>2.0</v>
      </c>
      <c r="J22" s="12"/>
      <c r="K22" s="12"/>
      <c r="L22" s="12"/>
      <c r="M22" s="14">
        <f t="shared" si="1"/>
        <v>2</v>
      </c>
    </row>
    <row r="23" ht="14.25" customHeight="1">
      <c r="A23" s="10" t="s">
        <v>23</v>
      </c>
      <c r="B23" s="11">
        <v>3.0</v>
      </c>
      <c r="C23" s="12"/>
      <c r="D23" s="12"/>
      <c r="E23" s="12"/>
      <c r="F23" s="12"/>
      <c r="G23" s="12"/>
      <c r="H23" s="12"/>
      <c r="I23" s="10">
        <v>3.0</v>
      </c>
      <c r="J23" s="12"/>
      <c r="K23" s="12"/>
      <c r="L23" s="12"/>
      <c r="M23" s="14">
        <f t="shared" si="1"/>
        <v>3</v>
      </c>
    </row>
    <row r="24" ht="14.25" customHeight="1">
      <c r="A24" s="10" t="s">
        <v>24</v>
      </c>
      <c r="B24" s="11">
        <v>1.0</v>
      </c>
      <c r="C24" s="12"/>
      <c r="D24" s="12"/>
      <c r="E24" s="12"/>
      <c r="F24" s="12"/>
      <c r="G24" s="12"/>
      <c r="H24" s="12"/>
      <c r="I24" s="10">
        <v>1.0</v>
      </c>
      <c r="J24" s="12"/>
      <c r="K24" s="12"/>
      <c r="L24" s="12"/>
      <c r="M24" s="14">
        <f t="shared" si="1"/>
        <v>1</v>
      </c>
    </row>
    <row r="25" ht="14.25" customHeight="1">
      <c r="A25" s="10" t="s">
        <v>25</v>
      </c>
      <c r="B25" s="11">
        <v>2.0</v>
      </c>
      <c r="C25" s="12"/>
      <c r="D25" s="12"/>
      <c r="E25" s="12"/>
      <c r="F25" s="12"/>
      <c r="G25" s="12"/>
      <c r="H25" s="12"/>
      <c r="I25" s="12"/>
      <c r="J25" s="10">
        <v>2.0</v>
      </c>
      <c r="K25" s="12"/>
      <c r="L25" s="12"/>
      <c r="M25" s="14">
        <f t="shared" si="1"/>
        <v>2</v>
      </c>
    </row>
    <row r="26" ht="14.25" customHeight="1">
      <c r="A26" s="10" t="s">
        <v>26</v>
      </c>
      <c r="B26" s="11">
        <v>2.0</v>
      </c>
      <c r="C26" s="12"/>
      <c r="D26" s="12"/>
      <c r="E26" s="12"/>
      <c r="F26" s="12"/>
      <c r="G26" s="12"/>
      <c r="H26" s="12"/>
      <c r="I26" s="12"/>
      <c r="J26" s="10">
        <v>2.0</v>
      </c>
      <c r="K26" s="12"/>
      <c r="L26" s="12"/>
      <c r="M26" s="14">
        <f t="shared" si="1"/>
        <v>2</v>
      </c>
    </row>
    <row r="27" ht="14.25" customHeight="1">
      <c r="A27" s="10" t="s">
        <v>27</v>
      </c>
      <c r="B27" s="11">
        <v>1.0</v>
      </c>
      <c r="C27" s="12"/>
      <c r="D27" s="12"/>
      <c r="E27" s="12"/>
      <c r="F27" s="12"/>
      <c r="G27" s="12"/>
      <c r="H27" s="12"/>
      <c r="I27" s="12"/>
      <c r="J27" s="10">
        <v>1.0</v>
      </c>
      <c r="K27" s="12"/>
      <c r="L27" s="12"/>
      <c r="M27" s="14">
        <f t="shared" si="1"/>
        <v>1</v>
      </c>
    </row>
    <row r="28" ht="14.25" customHeight="1">
      <c r="A28" s="10" t="s">
        <v>28</v>
      </c>
      <c r="B28" s="11">
        <v>2.0</v>
      </c>
      <c r="C28" s="12"/>
      <c r="D28" s="12"/>
      <c r="E28" s="12"/>
      <c r="F28" s="12"/>
      <c r="G28" s="12"/>
      <c r="H28" s="12"/>
      <c r="I28" s="12"/>
      <c r="J28" s="12"/>
      <c r="K28" s="10">
        <v>2.0</v>
      </c>
      <c r="L28" s="12"/>
      <c r="M28" s="14">
        <f t="shared" si="1"/>
        <v>2</v>
      </c>
    </row>
    <row r="29" ht="14.25" customHeight="1">
      <c r="A29" s="10" t="s">
        <v>29</v>
      </c>
      <c r="B29" s="11">
        <v>2.0</v>
      </c>
      <c r="C29" s="12"/>
      <c r="D29" s="12"/>
      <c r="E29" s="12"/>
      <c r="F29" s="12"/>
      <c r="G29" s="12"/>
      <c r="H29" s="12"/>
      <c r="I29" s="12"/>
      <c r="J29" s="12"/>
      <c r="K29" s="10"/>
      <c r="L29" s="10">
        <v>2.0</v>
      </c>
      <c r="M29" s="14">
        <f t="shared" si="1"/>
        <v>2</v>
      </c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4.25" customHeight="1">
      <c r="A31" s="2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ht="14.25" customHeight="1">
      <c r="A32" s="16" t="s">
        <v>30</v>
      </c>
      <c r="B32" s="2"/>
      <c r="C32" s="2">
        <f t="shared" ref="C32:L32" si="2">SUM(C5:C29)</f>
        <v>2</v>
      </c>
      <c r="D32" s="2">
        <f t="shared" si="2"/>
        <v>9</v>
      </c>
      <c r="E32" s="2">
        <f t="shared" si="2"/>
        <v>6</v>
      </c>
      <c r="F32" s="2">
        <f t="shared" si="2"/>
        <v>9</v>
      </c>
      <c r="G32" s="2">
        <f t="shared" si="2"/>
        <v>8</v>
      </c>
      <c r="H32" s="2">
        <f t="shared" si="2"/>
        <v>7</v>
      </c>
      <c r="I32" s="2">
        <f t="shared" si="2"/>
        <v>6</v>
      </c>
      <c r="J32" s="2">
        <f t="shared" si="2"/>
        <v>5</v>
      </c>
      <c r="K32" s="2">
        <f t="shared" si="2"/>
        <v>2</v>
      </c>
      <c r="L32" s="2">
        <f t="shared" si="2"/>
        <v>2</v>
      </c>
      <c r="M32" s="2"/>
    </row>
    <row r="33" ht="14.25" customHeight="1">
      <c r="A33" s="2"/>
      <c r="B33" s="17" t="s">
        <v>31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ht="14.25" customHeight="1">
      <c r="A34" s="16" t="s">
        <v>32</v>
      </c>
      <c r="B34" s="18">
        <f>SUM(B5:B29)</f>
        <v>56</v>
      </c>
      <c r="C34" s="19">
        <f>$B34 - C32</f>
        <v>54</v>
      </c>
      <c r="D34" s="19">
        <f>$C34 - D32</f>
        <v>45</v>
      </c>
      <c r="E34" s="19">
        <f>$D34 - E32</f>
        <v>39</v>
      </c>
      <c r="F34" s="19">
        <f>$E34 - F32</f>
        <v>30</v>
      </c>
      <c r="G34" s="19">
        <f>$F34 - G32</f>
        <v>22</v>
      </c>
      <c r="H34" s="19">
        <f>$G34 - H32</f>
        <v>15</v>
      </c>
      <c r="I34" s="19">
        <f>$H34 - I32</f>
        <v>9</v>
      </c>
      <c r="J34" s="19">
        <f>$I34 - J32</f>
        <v>4</v>
      </c>
      <c r="K34" s="19">
        <f>$J34 - K32</f>
        <v>2</v>
      </c>
      <c r="L34" s="19">
        <f>$K34 - L32</f>
        <v>0</v>
      </c>
      <c r="M34" s="2"/>
    </row>
    <row r="35" ht="14.25" customHeight="1">
      <c r="A35" s="2"/>
      <c r="B35" s="2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4.25" customHeight="1">
      <c r="A36" s="2"/>
      <c r="B36" s="20"/>
      <c r="C36" s="2"/>
      <c r="D36" s="2"/>
      <c r="E36" s="2"/>
      <c r="F36" s="2"/>
      <c r="G36" s="20"/>
      <c r="H36" s="2"/>
      <c r="I36" s="2"/>
      <c r="J36" s="2"/>
      <c r="K36" s="2"/>
      <c r="L36" s="2"/>
      <c r="M36" s="2"/>
    </row>
    <row r="37" ht="14.25" customHeight="1">
      <c r="A37" s="2"/>
      <c r="B37" s="20"/>
      <c r="C37" s="2"/>
      <c r="D37" s="2"/>
      <c r="E37" s="2"/>
      <c r="F37" s="2"/>
      <c r="G37" s="20"/>
      <c r="H37" s="2"/>
      <c r="I37" s="2"/>
      <c r="J37" s="2"/>
      <c r="K37" s="2"/>
      <c r="L37" s="2"/>
      <c r="M37" s="2"/>
    </row>
    <row r="38" ht="14.25" customHeight="1">
      <c r="A38" s="2"/>
      <c r="B38" s="20"/>
      <c r="C38" s="2"/>
      <c r="D38" s="2"/>
      <c r="E38" s="2"/>
      <c r="F38" s="2"/>
      <c r="G38" s="20"/>
      <c r="H38" s="2"/>
      <c r="I38" s="2"/>
    </row>
    <row r="39" ht="14.25" customHeight="1">
      <c r="A39" s="2"/>
      <c r="B39" s="20"/>
      <c r="C39" s="2"/>
      <c r="D39" s="2"/>
      <c r="E39" s="2"/>
      <c r="F39" s="2"/>
      <c r="G39" s="20"/>
      <c r="H39" s="2"/>
      <c r="I39" s="2"/>
    </row>
    <row r="40" ht="14.25" customHeight="1">
      <c r="A40" s="2"/>
      <c r="B40" s="20"/>
      <c r="C40" s="2"/>
      <c r="D40" s="2"/>
      <c r="E40" s="2"/>
      <c r="F40" s="2"/>
      <c r="G40" s="20"/>
      <c r="H40" s="2"/>
      <c r="I40" s="2"/>
    </row>
    <row r="41" ht="14.25" customHeight="1">
      <c r="A41" s="2"/>
      <c r="B41" s="20"/>
      <c r="C41" s="2"/>
      <c r="D41" s="2"/>
      <c r="E41" s="2"/>
      <c r="F41" s="2"/>
      <c r="G41" s="20"/>
      <c r="H41" s="2"/>
      <c r="I41" s="2"/>
    </row>
    <row r="42" ht="14.25" customHeight="1">
      <c r="A42" s="2"/>
      <c r="B42" s="20"/>
      <c r="C42" s="2"/>
      <c r="D42" s="2"/>
      <c r="E42" s="2"/>
      <c r="F42" s="2"/>
      <c r="G42" s="2"/>
      <c r="H42" s="2"/>
      <c r="I42" s="2"/>
    </row>
    <row r="43" ht="14.25" customHeight="1">
      <c r="A43" s="2"/>
      <c r="B43" s="20"/>
      <c r="C43" s="2"/>
      <c r="D43" s="2"/>
      <c r="E43" s="2"/>
      <c r="F43" s="2"/>
      <c r="G43" s="2"/>
      <c r="H43" s="2"/>
      <c r="I43" s="2"/>
    </row>
    <row r="44" ht="14.25" customHeight="1">
      <c r="A44" s="2"/>
      <c r="B44" s="20"/>
      <c r="C44" s="2"/>
      <c r="D44" s="2"/>
      <c r="E44" s="2"/>
      <c r="F44" s="2"/>
      <c r="G44" s="2"/>
      <c r="H44" s="2"/>
      <c r="I44" s="2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4">
    <mergeCell ref="A3:A4"/>
    <mergeCell ref="B3:B4"/>
    <mergeCell ref="C3:L3"/>
    <mergeCell ref="M3:M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