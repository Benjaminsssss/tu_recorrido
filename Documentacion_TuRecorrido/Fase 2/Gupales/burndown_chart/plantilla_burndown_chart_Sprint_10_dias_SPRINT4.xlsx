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ega\Desktop\documenos fase\terminados\"/>
    </mc:Choice>
  </mc:AlternateContent>
  <xr:revisionPtr revIDLastSave="0" documentId="13_ncr:1_{AB5CC6D2-0F19-475F-8DB8-4332C7F7D1C6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jc75sNNXymbr5jtc+Lbdbf90QwEKpfTp74QlpLZI7Q="/>
    </ext>
  </extLst>
</workbook>
</file>

<file path=xl/calcChain.xml><?xml version="1.0" encoding="utf-8"?>
<calcChain xmlns="http://schemas.openxmlformats.org/spreadsheetml/2006/main">
  <c r="B22" i="1" l="1"/>
  <c r="D25" i="1"/>
  <c r="E25" i="1"/>
  <c r="F25" i="1"/>
  <c r="G25" i="1"/>
  <c r="H25" i="1"/>
  <c r="I25" i="1"/>
  <c r="J25" i="1"/>
  <c r="K25" i="1"/>
  <c r="L25" i="1"/>
  <c r="C25" i="1"/>
  <c r="M26" i="1"/>
  <c r="N24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C27" i="1" l="1"/>
  <c r="D27" i="1" s="1"/>
  <c r="E27" i="1" s="1"/>
  <c r="F27" i="1" s="1"/>
  <c r="G27" i="1" s="1"/>
  <c r="H27" i="1" s="1"/>
  <c r="I27" i="1" s="1"/>
  <c r="J27" i="1" s="1"/>
  <c r="K27" i="1" s="1"/>
  <c r="L27" i="1" s="1"/>
</calcChain>
</file>

<file path=xl/sharedStrings.xml><?xml version="1.0" encoding="utf-8"?>
<sst xmlns="http://schemas.openxmlformats.org/spreadsheetml/2006/main" count="26" uniqueCount="26">
  <si>
    <t>Modifique la zona con color verde</t>
  </si>
  <si>
    <t xml:space="preserve">Tareas </t>
  </si>
  <si>
    <t>horas estimadas</t>
  </si>
  <si>
    <t>DIA</t>
  </si>
  <si>
    <t>Total</t>
  </si>
  <si>
    <t>Control del Sprint 1 de 10 días</t>
  </si>
  <si>
    <t>Horas Totales</t>
  </si>
  <si>
    <t>Horas Consumidas (Realizadas) por Día realizar</t>
  </si>
  <si>
    <t>Trabajo Pendiente (Burndown)</t>
  </si>
  <si>
    <t>H33-T80</t>
  </si>
  <si>
    <t>H33-T81</t>
  </si>
  <si>
    <t>H34-T82</t>
  </si>
  <si>
    <t>H34-T83</t>
  </si>
  <si>
    <t>H35-T84</t>
  </si>
  <si>
    <t>H35-T85</t>
  </si>
  <si>
    <t>H36-T86</t>
  </si>
  <si>
    <t>H36-T87</t>
  </si>
  <si>
    <t>H37-T88</t>
  </si>
  <si>
    <t>H37-T89</t>
  </si>
  <si>
    <t>H38-T90</t>
  </si>
  <si>
    <t>H38-T91</t>
  </si>
  <si>
    <t>H39-T92</t>
  </si>
  <si>
    <t>H40-T93</t>
  </si>
  <si>
    <t>H41-T94</t>
  </si>
  <si>
    <t>H42-T95</t>
  </si>
  <si>
    <t>H42-T96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</si>
</sst>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rgb="FFA8D08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5" xfId="0" applyFont="1" applyFill="1" applyBorder="1"/>
    <xf numFmtId="0" fontId="2" fillId="0" borderId="1" xfId="0" applyFont="1" applyBorder="1"/>
    <xf numFmtId="0" fontId="2" fillId="0" borderId="9" xfId="0" applyFont="1" applyBorder="1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center" wrapText="1"/>
    </xf>
    <xf numFmtId="0" fontId="2" fillId="3" borderId="10" xfId="0" applyFont="1" applyFill="1" applyBorder="1"/>
    <xf numFmtId="0" fontId="2" fillId="3" borderId="11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Ejemplo1!$C$5:$L$5</c:f>
              <c:numCache>
                <c:formatCode>General</c:formatCode>
                <c:ptCount val="1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A-4B45-A6B1-EC13C647EDDF}"/>
            </c:ext>
          </c:extLst>
        </c:ser>
        <c:ser>
          <c:idx val="1"/>
          <c:order val="1"/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Ejemplo1!$C$6:$L$6</c:f>
              <c:numCache>
                <c:formatCode>General</c:formatCode>
                <c:ptCount val="10"/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A-4B45-A6B1-EC13C647EDDF}"/>
            </c:ext>
          </c:extLst>
        </c:ser>
        <c:ser>
          <c:idx val="2"/>
          <c:order val="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Ejemplo1!$C$7:$L$7</c:f>
              <c:numCache>
                <c:formatCode>General</c:formatCode>
                <c:ptCount val="10"/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A-4B90-83F4-9E8A1B40556D}"/>
            </c:ext>
          </c:extLst>
        </c:ser>
        <c:ser>
          <c:idx val="3"/>
          <c:order val="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Ejemplo1!$C$8:$L$8</c:f>
              <c:numCache>
                <c:formatCode>General</c:formatCode>
                <c:ptCount val="10"/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A-4B90-83F4-9E8A1B40556D}"/>
            </c:ext>
          </c:extLst>
        </c:ser>
        <c:ser>
          <c:idx val="4"/>
          <c:order val="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Ejemplo1!$C$9:$L$9</c:f>
              <c:numCache>
                <c:formatCode>General</c:formatCode>
                <c:ptCount val="10"/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9A-4B90-83F4-9E8A1B40556D}"/>
            </c:ext>
          </c:extLst>
        </c:ser>
        <c:ser>
          <c:idx val="5"/>
          <c:order val="5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Ejemplo1!$C$10:$L$10</c:f>
              <c:numCache>
                <c:formatCode>General</c:formatCode>
                <c:ptCount val="10"/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9A-4B90-83F4-9E8A1B40556D}"/>
            </c:ext>
          </c:extLst>
        </c:ser>
        <c:ser>
          <c:idx val="6"/>
          <c:order val="6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Ejemplo1!$C$11:$L$11</c:f>
              <c:numCache>
                <c:formatCode>General</c:formatCode>
                <c:ptCount val="10"/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9A-4B90-83F4-9E8A1B40556D}"/>
            </c:ext>
          </c:extLst>
        </c:ser>
        <c:ser>
          <c:idx val="7"/>
          <c:order val="7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Ejemplo1!$C$12:$L$12</c:f>
              <c:numCache>
                <c:formatCode>General</c:formatCode>
                <c:ptCount val="10"/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9A-4B90-83F4-9E8A1B40556D}"/>
            </c:ext>
          </c:extLst>
        </c:ser>
        <c:ser>
          <c:idx val="8"/>
          <c:order val="8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Ejemplo1!$C$13:$L$13</c:f>
              <c:numCache>
                <c:formatCode>General</c:formatCode>
                <c:ptCount val="10"/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9A-4B90-83F4-9E8A1B40556D}"/>
            </c:ext>
          </c:extLst>
        </c:ser>
        <c:ser>
          <c:idx val="9"/>
          <c:order val="9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Ejemplo1!$C$14:$L$14</c:f>
              <c:numCache>
                <c:formatCode>General</c:formatCode>
                <c:ptCount val="10"/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9A-4B90-83F4-9E8A1B40556D}"/>
            </c:ext>
          </c:extLst>
        </c:ser>
        <c:ser>
          <c:idx val="10"/>
          <c:order val="10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Ejemplo1!$C$15:$L$15</c:f>
              <c:numCache>
                <c:formatCode>General</c:formatCode>
                <c:ptCount val="10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9A-4B90-83F4-9E8A1B40556D}"/>
            </c:ext>
          </c:extLst>
        </c:ser>
        <c:ser>
          <c:idx val="11"/>
          <c:order val="11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Ejemplo1!$C$16:$L$16</c:f>
              <c:numCache>
                <c:formatCode>General</c:formatCode>
                <c:ptCount val="10"/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9A-4B90-83F4-9E8A1B40556D}"/>
            </c:ext>
          </c:extLst>
        </c:ser>
        <c:ser>
          <c:idx val="12"/>
          <c:order val="1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Ejemplo1!$C$17:$L$17</c:f>
              <c:numCache>
                <c:formatCode>General</c:formatCode>
                <c:ptCount val="10"/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9A-4B90-83F4-9E8A1B40556D}"/>
            </c:ext>
          </c:extLst>
        </c:ser>
        <c:ser>
          <c:idx val="13"/>
          <c:order val="1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Ejemplo1!$C$18:$L$18</c:f>
              <c:numCache>
                <c:formatCode>General</c:formatCode>
                <c:ptCount val="10"/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9A-4B90-83F4-9E8A1B40556D}"/>
            </c:ext>
          </c:extLst>
        </c:ser>
        <c:ser>
          <c:idx val="14"/>
          <c:order val="1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Ejemplo1!$C$19:$L$19</c:f>
              <c:numCache>
                <c:formatCode>General</c:formatCode>
                <c:ptCount val="10"/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9A-4B90-83F4-9E8A1B40556D}"/>
            </c:ext>
          </c:extLst>
        </c:ser>
        <c:ser>
          <c:idx val="15"/>
          <c:order val="15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Ejemplo1!$C$20:$L$20</c:f>
              <c:numCache>
                <c:formatCode>General</c:formatCode>
                <c:ptCount val="10"/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9A-4B90-83F4-9E8A1B40556D}"/>
            </c:ext>
          </c:extLst>
        </c:ser>
        <c:ser>
          <c:idx val="16"/>
          <c:order val="16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Ejemplo1!$C$21:$L$21</c:f>
              <c:numCache>
                <c:formatCode>General</c:formatCode>
                <c:ptCount val="10"/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9A-4B90-83F4-9E8A1B405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009013"/>
        <c:axId val="1627837260"/>
      </c:lineChart>
      <c:catAx>
        <c:axId val="1326009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627837260"/>
        <c:crosses val="autoZero"/>
        <c:auto val="1"/>
        <c:lblAlgn val="ctr"/>
        <c:lblOffset val="100"/>
        <c:noMultiLvlLbl val="1"/>
      </c:catAx>
      <c:valAx>
        <c:axId val="162783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3260090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161925</xdr:colOff>
      <xdr:row>1</xdr:row>
      <xdr:rowOff>142875</xdr:rowOff>
    </xdr:from>
    <xdr:ext cx="3524250" cy="5467350"/>
    <xdr:graphicFrame macro="">
      <xdr:nvGraphicFramePr>
        <xdr:cNvPr id="1952365753" name="Chart 1">
          <a:extLst>
            <a:ext uri="{FF2B5EF4-FFF2-40B4-BE49-F238E27FC236}">
              <a16:creationId xmlns:a16="http://schemas.microsoft.com/office/drawing/2014/main" id="{00000000-0008-0000-0000-0000B9BC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8"/>
  <sheetViews>
    <sheetView showGridLines="0" tabSelected="1" zoomScale="70" zoomScaleNormal="70" workbookViewId="0">
      <selection activeCell="K22" sqref="K22"/>
    </sheetView>
  </sheetViews>
  <sheetFormatPr baseColWidth="10" defaultColWidth="14.44140625" defaultRowHeight="15" customHeight="1" x14ac:dyDescent="0.3"/>
  <cols>
    <col min="1" max="1" width="26.33203125" customWidth="1"/>
    <col min="2" max="2" width="17" customWidth="1"/>
    <col min="3" max="3" width="4" customWidth="1"/>
    <col min="4" max="12" width="3.44140625" customWidth="1"/>
    <col min="13" max="19" width="10.6640625" customWidth="1"/>
  </cols>
  <sheetData>
    <row r="1" spans="1:13" ht="14.25" customHeight="1" x14ac:dyDescent="0.4">
      <c r="A1" s="1" t="s">
        <v>5</v>
      </c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</row>
    <row r="2" spans="1:13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4.25" customHeight="1" x14ac:dyDescent="0.3">
      <c r="A3" s="14" t="s">
        <v>1</v>
      </c>
      <c r="B3" s="14" t="s">
        <v>2</v>
      </c>
      <c r="C3" s="16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4" t="s">
        <v>4</v>
      </c>
    </row>
    <row r="4" spans="1:13" ht="14.25" customHeight="1" x14ac:dyDescent="0.3">
      <c r="A4" s="15"/>
      <c r="B4" s="15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18"/>
    </row>
    <row r="5" spans="1:13" ht="14.25" customHeight="1" x14ac:dyDescent="0.3">
      <c r="A5" s="9" t="s">
        <v>9</v>
      </c>
      <c r="B5" s="10">
        <v>6</v>
      </c>
      <c r="C5" s="9">
        <v>6</v>
      </c>
      <c r="D5" s="9"/>
      <c r="E5" s="9"/>
      <c r="F5" s="9"/>
      <c r="G5" s="9"/>
      <c r="H5" s="9"/>
      <c r="I5" s="9"/>
      <c r="J5" s="9"/>
      <c r="K5" s="9"/>
      <c r="L5" s="9"/>
      <c r="M5" s="4">
        <f t="shared" ref="M5:M21" si="0">SUM(C5:L5)</f>
        <v>6</v>
      </c>
    </row>
    <row r="6" spans="1:13" ht="14.25" customHeight="1" x14ac:dyDescent="0.3">
      <c r="A6" s="9" t="s">
        <v>10</v>
      </c>
      <c r="B6" s="10">
        <v>4</v>
      </c>
      <c r="C6" s="9"/>
      <c r="D6" s="9">
        <v>4</v>
      </c>
      <c r="E6" s="9"/>
      <c r="F6" s="9"/>
      <c r="G6" s="9"/>
      <c r="H6" s="9"/>
      <c r="I6" s="9"/>
      <c r="J6" s="9"/>
      <c r="K6" s="9"/>
      <c r="L6" s="9"/>
      <c r="M6" s="5">
        <f t="shared" si="0"/>
        <v>4</v>
      </c>
    </row>
    <row r="7" spans="1:13" ht="14.25" customHeight="1" x14ac:dyDescent="0.3">
      <c r="A7" s="9" t="s">
        <v>11</v>
      </c>
      <c r="B7" s="10">
        <v>3</v>
      </c>
      <c r="C7" s="9"/>
      <c r="D7" s="9">
        <v>3</v>
      </c>
      <c r="E7" s="9"/>
      <c r="F7" s="9"/>
      <c r="G7" s="9"/>
      <c r="H7" s="9"/>
      <c r="I7" s="9"/>
      <c r="J7" s="9"/>
      <c r="K7" s="9"/>
      <c r="L7" s="9"/>
      <c r="M7" s="5">
        <f t="shared" si="0"/>
        <v>3</v>
      </c>
    </row>
    <row r="8" spans="1:13" ht="14.25" customHeight="1" x14ac:dyDescent="0.3">
      <c r="A8" s="9" t="s">
        <v>12</v>
      </c>
      <c r="B8" s="10">
        <v>2</v>
      </c>
      <c r="C8" s="9"/>
      <c r="D8" s="9"/>
      <c r="E8" s="9">
        <v>2</v>
      </c>
      <c r="F8" s="9"/>
      <c r="G8" s="9"/>
      <c r="H8" s="9"/>
      <c r="I8" s="9"/>
      <c r="J8" s="9"/>
      <c r="K8" s="9"/>
      <c r="L8" s="9"/>
      <c r="M8" s="5">
        <f t="shared" si="0"/>
        <v>2</v>
      </c>
    </row>
    <row r="9" spans="1:13" ht="14.25" customHeight="1" x14ac:dyDescent="0.3">
      <c r="A9" s="9" t="s">
        <v>13</v>
      </c>
      <c r="B9" s="10">
        <v>4</v>
      </c>
      <c r="C9" s="9"/>
      <c r="D9" s="9"/>
      <c r="E9" s="9">
        <v>4</v>
      </c>
      <c r="F9" s="9"/>
      <c r="G9" s="9"/>
      <c r="H9" s="9"/>
      <c r="I9" s="9"/>
      <c r="J9" s="9"/>
      <c r="K9" s="9"/>
      <c r="L9" s="9"/>
      <c r="M9" s="5">
        <f t="shared" si="0"/>
        <v>4</v>
      </c>
    </row>
    <row r="10" spans="1:13" ht="14.25" customHeight="1" x14ac:dyDescent="0.3">
      <c r="A10" s="9" t="s">
        <v>14</v>
      </c>
      <c r="B10" s="10">
        <v>2</v>
      </c>
      <c r="C10" s="9"/>
      <c r="D10" s="9"/>
      <c r="E10" s="9">
        <v>2</v>
      </c>
      <c r="F10" s="9"/>
      <c r="G10" s="9"/>
      <c r="H10" s="9"/>
      <c r="I10" s="9"/>
      <c r="J10" s="9"/>
      <c r="K10" s="9"/>
      <c r="L10" s="9"/>
      <c r="M10" s="5">
        <f t="shared" si="0"/>
        <v>2</v>
      </c>
    </row>
    <row r="11" spans="1:13" ht="14.25" customHeight="1" x14ac:dyDescent="0.3">
      <c r="A11" s="9" t="s">
        <v>15</v>
      </c>
      <c r="B11" s="10">
        <v>4</v>
      </c>
      <c r="C11" s="9"/>
      <c r="D11" s="9"/>
      <c r="E11" s="9">
        <v>4</v>
      </c>
      <c r="F11" s="9"/>
      <c r="G11" s="9"/>
      <c r="H11" s="9"/>
      <c r="I11" s="9"/>
      <c r="J11" s="9"/>
      <c r="K11" s="9"/>
      <c r="L11" s="9"/>
      <c r="M11" s="5">
        <f t="shared" si="0"/>
        <v>4</v>
      </c>
    </row>
    <row r="12" spans="1:13" ht="14.25" customHeight="1" x14ac:dyDescent="0.3">
      <c r="A12" s="9" t="s">
        <v>16</v>
      </c>
      <c r="B12" s="10">
        <v>3</v>
      </c>
      <c r="C12" s="9"/>
      <c r="D12" s="9"/>
      <c r="E12" s="9">
        <v>3</v>
      </c>
      <c r="F12" s="9"/>
      <c r="G12" s="9"/>
      <c r="H12" s="9"/>
      <c r="I12" s="9"/>
      <c r="J12" s="9"/>
      <c r="K12" s="9"/>
      <c r="L12" s="9"/>
      <c r="M12" s="5">
        <f t="shared" si="0"/>
        <v>3</v>
      </c>
    </row>
    <row r="13" spans="1:13" ht="14.25" customHeight="1" x14ac:dyDescent="0.3">
      <c r="A13" s="9" t="s">
        <v>17</v>
      </c>
      <c r="B13" s="10">
        <v>5</v>
      </c>
      <c r="C13" s="9"/>
      <c r="D13" s="9"/>
      <c r="E13" s="9"/>
      <c r="F13" s="9">
        <v>5</v>
      </c>
      <c r="G13" s="9"/>
      <c r="H13" s="9"/>
      <c r="I13" s="9"/>
      <c r="J13" s="9"/>
      <c r="K13" s="9"/>
      <c r="L13" s="9"/>
      <c r="M13" s="5">
        <f t="shared" si="0"/>
        <v>5</v>
      </c>
    </row>
    <row r="14" spans="1:13" ht="14.25" customHeight="1" x14ac:dyDescent="0.3">
      <c r="A14" s="9" t="s">
        <v>18</v>
      </c>
      <c r="B14" s="12">
        <v>3</v>
      </c>
      <c r="C14" s="9"/>
      <c r="D14" s="9"/>
      <c r="E14" s="9"/>
      <c r="F14" s="9">
        <v>3</v>
      </c>
      <c r="G14" s="9"/>
      <c r="H14" s="9"/>
      <c r="I14" s="9"/>
      <c r="J14" s="9"/>
      <c r="K14" s="9"/>
      <c r="L14" s="9"/>
      <c r="M14" s="5">
        <f t="shared" si="0"/>
        <v>3</v>
      </c>
    </row>
    <row r="15" spans="1:13" ht="14.25" customHeight="1" x14ac:dyDescent="0.3">
      <c r="A15" s="11" t="s">
        <v>19</v>
      </c>
      <c r="B15" s="12">
        <v>2</v>
      </c>
      <c r="C15" s="9"/>
      <c r="D15" s="9"/>
      <c r="E15" s="9"/>
      <c r="F15" s="9">
        <v>2</v>
      </c>
      <c r="G15" s="9"/>
      <c r="H15" s="9"/>
      <c r="I15" s="9"/>
      <c r="J15" s="9"/>
      <c r="K15" s="9"/>
      <c r="L15" s="9"/>
      <c r="M15" s="5">
        <f t="shared" si="0"/>
        <v>2</v>
      </c>
    </row>
    <row r="16" spans="1:13" ht="14.25" customHeight="1" x14ac:dyDescent="0.3">
      <c r="A16" s="11" t="s">
        <v>20</v>
      </c>
      <c r="B16" s="10">
        <v>5</v>
      </c>
      <c r="C16" s="9"/>
      <c r="D16" s="9"/>
      <c r="E16" s="9"/>
      <c r="F16" s="9"/>
      <c r="G16" s="9">
        <v>5</v>
      </c>
      <c r="H16" s="9"/>
      <c r="I16" s="9"/>
      <c r="J16" s="9"/>
      <c r="K16" s="9"/>
      <c r="L16" s="9"/>
      <c r="M16" s="5">
        <f t="shared" si="0"/>
        <v>5</v>
      </c>
    </row>
    <row r="17" spans="1:14" ht="14.25" customHeight="1" x14ac:dyDescent="0.3">
      <c r="A17" s="11" t="s">
        <v>21</v>
      </c>
      <c r="B17" s="10">
        <v>7</v>
      </c>
      <c r="C17" s="9"/>
      <c r="D17" s="9"/>
      <c r="E17" s="9"/>
      <c r="F17" s="9"/>
      <c r="G17" s="9">
        <v>7</v>
      </c>
      <c r="H17" s="9"/>
      <c r="I17" s="9"/>
      <c r="J17" s="9"/>
      <c r="K17" s="9"/>
      <c r="L17" s="9"/>
      <c r="M17" s="5">
        <f t="shared" si="0"/>
        <v>7</v>
      </c>
    </row>
    <row r="18" spans="1:14" ht="14.25" customHeight="1" x14ac:dyDescent="0.3">
      <c r="A18" s="9" t="s">
        <v>22</v>
      </c>
      <c r="B18" s="10">
        <v>7</v>
      </c>
      <c r="C18" s="9"/>
      <c r="D18" s="9"/>
      <c r="E18" s="9"/>
      <c r="F18" s="9"/>
      <c r="G18" s="9"/>
      <c r="H18" s="9">
        <v>7</v>
      </c>
      <c r="I18" s="9"/>
      <c r="J18" s="9"/>
      <c r="K18" s="9"/>
      <c r="L18" s="9"/>
      <c r="M18" s="5">
        <f t="shared" si="0"/>
        <v>7</v>
      </c>
    </row>
    <row r="19" spans="1:14" ht="14.25" customHeight="1" x14ac:dyDescent="0.3">
      <c r="A19" s="9" t="s">
        <v>23</v>
      </c>
      <c r="B19" s="10">
        <v>7</v>
      </c>
      <c r="C19" s="9"/>
      <c r="D19" s="9"/>
      <c r="E19" s="9"/>
      <c r="F19" s="9"/>
      <c r="G19" s="9"/>
      <c r="H19" s="9"/>
      <c r="I19" s="9">
        <v>7</v>
      </c>
      <c r="J19" s="9"/>
      <c r="K19" s="9"/>
      <c r="L19" s="9"/>
      <c r="M19" s="5">
        <f t="shared" si="0"/>
        <v>7</v>
      </c>
    </row>
    <row r="20" spans="1:14" ht="14.25" customHeight="1" x14ac:dyDescent="0.3">
      <c r="A20" s="9" t="s">
        <v>24</v>
      </c>
      <c r="B20" s="10">
        <v>7</v>
      </c>
      <c r="C20" s="9"/>
      <c r="D20" s="9"/>
      <c r="E20" s="9"/>
      <c r="F20" s="9"/>
      <c r="G20" s="9"/>
      <c r="H20" s="9"/>
      <c r="I20" s="9"/>
      <c r="J20" s="9">
        <v>7</v>
      </c>
      <c r="K20" s="9"/>
      <c r="L20" s="9"/>
      <c r="M20" s="5">
        <f t="shared" si="0"/>
        <v>7</v>
      </c>
    </row>
    <row r="21" spans="1:14" ht="14.25" customHeight="1" x14ac:dyDescent="0.3">
      <c r="A21" s="9" t="s">
        <v>25</v>
      </c>
      <c r="B21" s="10">
        <v>7</v>
      </c>
      <c r="C21" s="9"/>
      <c r="D21" s="9"/>
      <c r="E21" s="9"/>
      <c r="F21" s="9"/>
      <c r="G21" s="9"/>
      <c r="H21" s="9"/>
      <c r="I21" s="9"/>
      <c r="J21" s="9">
        <v>7</v>
      </c>
      <c r="K21" s="9"/>
      <c r="L21" s="9"/>
      <c r="M21" s="5">
        <f t="shared" si="0"/>
        <v>7</v>
      </c>
    </row>
    <row r="22" spans="1:14" ht="14.25" customHeight="1" x14ac:dyDescent="0.3">
      <c r="A22" s="11" t="s">
        <v>6</v>
      </c>
      <c r="B22" s="13">
        <f>SUM(B5:B21)</f>
        <v>78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4.25" customHeight="1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4.25" customHeight="1" x14ac:dyDescent="0.3">
      <c r="B24" s="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 t="e">
        <f>M24-SUM(#REF!)</f>
        <v>#REF!</v>
      </c>
    </row>
    <row r="25" spans="1:14" ht="14.25" customHeight="1" x14ac:dyDescent="0.3">
      <c r="A25" s="7" t="s">
        <v>7</v>
      </c>
      <c r="B25" s="2"/>
      <c r="C25" s="2">
        <f t="shared" ref="C25:L25" si="1">SUM(C5:C21)</f>
        <v>6</v>
      </c>
      <c r="D25" s="2">
        <f t="shared" si="1"/>
        <v>7</v>
      </c>
      <c r="E25" s="2">
        <f t="shared" si="1"/>
        <v>15</v>
      </c>
      <c r="F25" s="2">
        <f t="shared" si="1"/>
        <v>10</v>
      </c>
      <c r="G25" s="2">
        <f t="shared" si="1"/>
        <v>12</v>
      </c>
      <c r="H25" s="2">
        <f t="shared" si="1"/>
        <v>7</v>
      </c>
      <c r="I25" s="2">
        <f t="shared" si="1"/>
        <v>7</v>
      </c>
      <c r="J25" s="2">
        <f t="shared" si="1"/>
        <v>14</v>
      </c>
      <c r="K25" s="2">
        <f t="shared" si="1"/>
        <v>0</v>
      </c>
      <c r="L25" s="2">
        <f t="shared" si="1"/>
        <v>0</v>
      </c>
      <c r="M25" s="2"/>
    </row>
    <row r="26" spans="1:14" ht="14.25" customHeight="1" x14ac:dyDescent="0.3">
      <c r="A26" s="2"/>
      <c r="B26" s="6"/>
      <c r="C26" s="6"/>
      <c r="D26" s="2"/>
      <c r="E26" s="6"/>
      <c r="F26" s="6"/>
      <c r="G26" s="6"/>
      <c r="H26" s="6"/>
      <c r="I26" s="6"/>
      <c r="J26" s="6"/>
      <c r="K26" s="6"/>
      <c r="L26" s="6"/>
      <c r="M26" s="6" t="e">
        <f>#REF!-(SUM($B$5:$B$21)/20)</f>
        <v>#REF!</v>
      </c>
    </row>
    <row r="27" spans="1:14" ht="14.25" customHeight="1" x14ac:dyDescent="0.3">
      <c r="A27" s="7" t="s">
        <v>8</v>
      </c>
      <c r="B27" s="2"/>
      <c r="C27" s="2">
        <f>B22-C25</f>
        <v>72</v>
      </c>
      <c r="D27" s="2">
        <f>C27-D25</f>
        <v>65</v>
      </c>
      <c r="E27" s="2">
        <f t="shared" ref="E27:L27" si="2">D27-E25</f>
        <v>50</v>
      </c>
      <c r="F27" s="2">
        <f t="shared" si="2"/>
        <v>40</v>
      </c>
      <c r="G27" s="2">
        <f t="shared" si="2"/>
        <v>28</v>
      </c>
      <c r="H27" s="2">
        <f t="shared" si="2"/>
        <v>21</v>
      </c>
      <c r="I27" s="2">
        <f t="shared" si="2"/>
        <v>14</v>
      </c>
      <c r="J27" s="2">
        <f t="shared" si="2"/>
        <v>0</v>
      </c>
      <c r="K27" s="2">
        <f t="shared" si="2"/>
        <v>0</v>
      </c>
      <c r="L27" s="2">
        <f t="shared" si="2"/>
        <v>0</v>
      </c>
      <c r="M27" s="2"/>
    </row>
    <row r="28" spans="1:14" ht="14.25" customHeight="1" x14ac:dyDescent="0.3">
      <c r="A28" s="2"/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4" ht="14.25" customHeight="1" x14ac:dyDescent="0.3">
      <c r="A29" s="2"/>
      <c r="B29" s="8"/>
      <c r="C29" s="2"/>
      <c r="D29" s="2"/>
      <c r="E29" s="2"/>
      <c r="F29" s="2"/>
      <c r="G29" s="8"/>
      <c r="H29" s="2"/>
      <c r="I29" s="2"/>
      <c r="J29" s="2"/>
      <c r="K29" s="2"/>
      <c r="L29" s="2"/>
      <c r="M29" s="2"/>
    </row>
    <row r="30" spans="1:14" ht="14.25" customHeight="1" x14ac:dyDescent="0.3">
      <c r="A30" s="2"/>
      <c r="B30" s="8"/>
      <c r="C30" s="2"/>
      <c r="D30" s="2"/>
      <c r="E30" s="2"/>
      <c r="F30" s="2"/>
      <c r="G30" s="8"/>
      <c r="H30" s="2"/>
      <c r="I30" s="2"/>
      <c r="J30" s="2"/>
      <c r="K30" s="2"/>
      <c r="L30" s="2"/>
      <c r="M30" s="2"/>
    </row>
    <row r="31" spans="1:14" ht="14.25" customHeight="1" x14ac:dyDescent="0.3">
      <c r="A31" s="2"/>
      <c r="B31" s="8"/>
      <c r="C31" s="2"/>
      <c r="D31" s="2"/>
      <c r="E31" s="2"/>
      <c r="F31" s="2"/>
      <c r="G31" s="8"/>
      <c r="H31" s="2"/>
      <c r="I31" s="2"/>
    </row>
    <row r="32" spans="1:14" ht="14.25" customHeight="1" x14ac:dyDescent="0.3">
      <c r="A32" s="2"/>
      <c r="B32" s="8"/>
      <c r="C32" s="2"/>
      <c r="D32" s="2"/>
      <c r="E32" s="2"/>
      <c r="F32" s="2"/>
      <c r="G32" s="8"/>
      <c r="H32" s="2"/>
      <c r="I32" s="2"/>
    </row>
    <row r="33" spans="1:9" ht="14.25" customHeight="1" x14ac:dyDescent="0.3">
      <c r="A33" s="2"/>
      <c r="B33" s="8"/>
      <c r="C33" s="2"/>
      <c r="D33" s="2"/>
      <c r="E33" s="2"/>
      <c r="F33" s="2"/>
      <c r="G33" s="8"/>
      <c r="H33" s="2"/>
      <c r="I33" s="2"/>
    </row>
    <row r="34" spans="1:9" ht="14.25" customHeight="1" x14ac:dyDescent="0.3">
      <c r="A34" s="2"/>
      <c r="B34" s="8"/>
      <c r="C34" s="2"/>
      <c r="D34" s="2"/>
      <c r="E34" s="2"/>
      <c r="F34" s="2"/>
      <c r="G34" s="8"/>
      <c r="H34" s="2"/>
      <c r="I34" s="2"/>
    </row>
    <row r="35" spans="1:9" ht="14.25" customHeight="1" x14ac:dyDescent="0.3">
      <c r="A35" s="2"/>
      <c r="B35" s="8"/>
      <c r="C35" s="2"/>
      <c r="D35" s="2"/>
      <c r="E35" s="2"/>
      <c r="F35" s="2"/>
      <c r="G35" s="2"/>
      <c r="H35" s="2"/>
      <c r="I35" s="2"/>
    </row>
    <row r="36" spans="1:9" ht="14.25" customHeight="1" x14ac:dyDescent="0.3">
      <c r="A36" s="2"/>
      <c r="B36" s="8"/>
      <c r="C36" s="2"/>
      <c r="D36" s="2"/>
      <c r="E36" s="2"/>
      <c r="F36" s="2"/>
      <c r="G36" s="2"/>
      <c r="H36" s="2"/>
      <c r="I36" s="2"/>
    </row>
    <row r="37" spans="1:9" ht="14.25" customHeight="1" x14ac:dyDescent="0.3">
      <c r="A37" s="2"/>
      <c r="B37" s="8"/>
      <c r="C37" s="2"/>
      <c r="D37" s="2"/>
      <c r="E37" s="2"/>
      <c r="F37" s="2"/>
      <c r="G37" s="2"/>
      <c r="H37" s="2"/>
      <c r="I37" s="2"/>
    </row>
    <row r="38" spans="1:9" ht="14.25" customHeight="1" x14ac:dyDescent="0.3"/>
    <row r="39" spans="1:9" ht="14.25" customHeight="1" x14ac:dyDescent="0.3"/>
    <row r="40" spans="1:9" ht="14.25" customHeight="1" x14ac:dyDescent="0.3"/>
    <row r="41" spans="1:9" ht="14.25" customHeight="1" x14ac:dyDescent="0.3"/>
    <row r="42" spans="1:9" ht="14.25" customHeight="1" x14ac:dyDescent="0.3"/>
    <row r="43" spans="1:9" ht="14.25" customHeight="1" x14ac:dyDescent="0.3"/>
    <row r="44" spans="1:9" ht="14.25" customHeight="1" x14ac:dyDescent="0.3"/>
    <row r="45" spans="1:9" ht="14.25" customHeight="1" x14ac:dyDescent="0.3"/>
    <row r="46" spans="1:9" ht="14.25" customHeight="1" x14ac:dyDescent="0.3"/>
    <row r="47" spans="1:9" ht="14.25" customHeight="1" x14ac:dyDescent="0.3"/>
    <row r="48" spans="1: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mergeCells count="4">
    <mergeCell ref="A3:A4"/>
    <mergeCell ref="B3:B4"/>
    <mergeCell ref="C3:L3"/>
    <mergeCell ref="M3:M4"/>
  </mergeCells>
  <phoneticPr fontId="5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BENJAMIN ALEJANDRO MARIN YANEZ</cp:lastModifiedBy>
  <dcterms:created xsi:type="dcterms:W3CDTF">2018-02-12T12:05:26Z</dcterms:created>
  <dcterms:modified xsi:type="dcterms:W3CDTF">2025-11-15T07:02:35Z</dcterms:modified>
</cp:coreProperties>
</file>